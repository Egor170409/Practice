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2296" windowHeight="11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F6" i="1"/>
  <c r="F2" i="1"/>
  <c r="C7" i="1" l="1"/>
  <c r="B7" i="1"/>
  <c r="D6" i="1"/>
  <c r="D5" i="1"/>
  <c r="D4" i="1"/>
  <c r="D3" i="1"/>
  <c r="D2" i="1"/>
  <c r="D7" i="1" l="1"/>
  <c r="F4" i="1"/>
  <c r="F5" i="1"/>
  <c r="F3" i="1"/>
  <c r="E7" i="1" l="1"/>
  <c r="B11" i="1" l="1"/>
  <c r="B10" i="1"/>
  <c r="B9" i="1"/>
  <c r="F7" i="1"/>
</calcChain>
</file>

<file path=xl/sharedStrings.xml><?xml version="1.0" encoding="utf-8"?>
<sst xmlns="http://schemas.openxmlformats.org/spreadsheetml/2006/main" count="15" uniqueCount="15">
  <si>
    <t>ФИО сотрудника</t>
  </si>
  <si>
    <t>Оклад (руб.)</t>
  </si>
  <si>
    <t>Премия (%)</t>
  </si>
  <si>
    <t>Премия (руб.)</t>
  </si>
  <si>
    <t>НДФЛ (13%)</t>
  </si>
  <si>
    <t>К выдоче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</si>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</sst>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4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8" fontId="1" fillId="0" borderId="1" xfId="0" applyNumberFormat="1" applyFont="1" applyBorder="1" applyAlignment="1">
      <alignment vertical="center" wrapText="1"/>
    </xf>
    <xf numFmtId="8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J11" sqref="J11"/>
    </sheetView>
  </sheetViews>
  <sheetFormatPr defaultRowHeight="14.4" x14ac:dyDescent="0.3"/>
  <cols>
    <col min="6" max="6" width="16.6640625" customWidth="1"/>
  </cols>
  <sheetData>
    <row r="1" spans="1:6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0.399999999999999" x14ac:dyDescent="0.3">
      <c r="A2" s="1" t="s">
        <v>6</v>
      </c>
      <c r="B2" s="3">
        <v>50000</v>
      </c>
      <c r="C2" s="1">
        <v>20</v>
      </c>
      <c r="D2" s="3">
        <f>B2*C2/100</f>
        <v>10000</v>
      </c>
      <c r="E2" s="3">
        <f>(B2+D2)*13%</f>
        <v>7800</v>
      </c>
      <c r="F2" s="4">
        <f>B2+D2-E2</f>
        <v>52200</v>
      </c>
    </row>
    <row r="3" spans="1:6" ht="20.399999999999999" x14ac:dyDescent="0.3">
      <c r="A3" s="1" t="s">
        <v>7</v>
      </c>
      <c r="B3" s="3">
        <v>45000</v>
      </c>
      <c r="C3" s="1">
        <v>15</v>
      </c>
      <c r="D3" s="3">
        <f>B3*C3/100</f>
        <v>6750</v>
      </c>
      <c r="E3" s="3">
        <f t="shared" ref="E3:E6" si="0">(B3+D3)*13%</f>
        <v>6727.5</v>
      </c>
      <c r="F3" s="4">
        <f t="shared" ref="F3:F6" si="1">B3+D3-E3</f>
        <v>45022.5</v>
      </c>
    </row>
    <row r="4" spans="1:6" ht="20.399999999999999" x14ac:dyDescent="0.3">
      <c r="A4" s="1" t="s">
        <v>8</v>
      </c>
      <c r="B4" s="3">
        <v>62000</v>
      </c>
      <c r="C4" s="1">
        <v>25</v>
      </c>
      <c r="D4" s="3">
        <f>B4*C4/100</f>
        <v>15500</v>
      </c>
      <c r="E4" s="3">
        <f t="shared" si="0"/>
        <v>10075</v>
      </c>
      <c r="F4" s="4">
        <f t="shared" si="1"/>
        <v>67425</v>
      </c>
    </row>
    <row r="5" spans="1:6" ht="20.399999999999999" x14ac:dyDescent="0.3">
      <c r="A5" s="1" t="s">
        <v>9</v>
      </c>
      <c r="B5" s="3">
        <v>55000</v>
      </c>
      <c r="C5" s="1">
        <v>10</v>
      </c>
      <c r="D5" s="3">
        <f>B5*C5/100</f>
        <v>5500</v>
      </c>
      <c r="E5" s="3">
        <f t="shared" si="0"/>
        <v>7865</v>
      </c>
      <c r="F5" s="4">
        <f t="shared" si="1"/>
        <v>52635</v>
      </c>
    </row>
    <row r="6" spans="1:6" ht="20.399999999999999" x14ac:dyDescent="0.3">
      <c r="A6" s="1" t="s">
        <v>10</v>
      </c>
      <c r="B6" s="3">
        <v>40000</v>
      </c>
      <c r="C6" s="1">
        <v>30</v>
      </c>
      <c r="D6" s="3">
        <f>B6*C6/100</f>
        <v>12000</v>
      </c>
      <c r="E6" s="3">
        <f t="shared" si="0"/>
        <v>6760</v>
      </c>
      <c r="F6" s="4">
        <f>B6+D6-E6</f>
        <v>45240</v>
      </c>
    </row>
    <row r="7" spans="1:6" x14ac:dyDescent="0.3">
      <c r="A7" s="1" t="s">
        <v>11</v>
      </c>
      <c r="B7" s="3">
        <f>SUM(B2:B6)</f>
        <v>252000</v>
      </c>
      <c r="C7" s="3">
        <f t="shared" ref="C7:F7" si="2">SUM(C2:C6)</f>
        <v>100</v>
      </c>
      <c r="D7" s="3">
        <f t="shared" si="2"/>
        <v>49750</v>
      </c>
      <c r="E7" s="3">
        <f t="shared" si="2"/>
        <v>39227.5</v>
      </c>
      <c r="F7" s="3">
        <f t="shared" si="2"/>
        <v>262522.5</v>
      </c>
    </row>
    <row r="8" spans="1:6" x14ac:dyDescent="0.3">
      <c r="A8" s="5"/>
      <c r="B8" s="5"/>
      <c r="C8" s="5"/>
      <c r="D8" s="5"/>
      <c r="E8" s="5"/>
      <c r="F8" s="6"/>
    </row>
    <row r="9" spans="1:6" ht="20.399999999999999" x14ac:dyDescent="0.3">
      <c r="A9" s="1" t="s">
        <v>12</v>
      </c>
      <c r="B9" s="3">
        <f>AVERAGE(F2:F6)</f>
        <v>52504.5</v>
      </c>
      <c r="C9" s="7"/>
      <c r="D9" s="5"/>
      <c r="E9" s="5"/>
      <c r="F9" s="6"/>
    </row>
    <row r="10" spans="1:6" x14ac:dyDescent="0.3">
      <c r="A10" s="1" t="s">
        <v>13</v>
      </c>
      <c r="B10" s="3">
        <f>MAX(F2:F6)</f>
        <v>67425</v>
      </c>
      <c r="C10" s="7"/>
      <c r="D10" s="5"/>
      <c r="E10" s="5"/>
      <c r="F10" s="6"/>
    </row>
    <row r="11" spans="1:6" x14ac:dyDescent="0.3">
      <c r="A11" s="1" t="s">
        <v>14</v>
      </c>
      <c r="B11" s="3">
        <f>MIN(F2:F6)</f>
        <v>45022.5</v>
      </c>
      <c r="C11" s="7"/>
      <c r="D11" s="6"/>
      <c r="E11" s="6"/>
      <c r="F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2026-10-13T10:17:08Z</dcterms:created>
  <dcterms:modified xsi:type="dcterms:W3CDTF">2026-10-13T10:27:55Z</dcterms:modified>
</cp:coreProperties>
</file>